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und 1 Results" sheetId="1" state="visible" r:id="rId3"/>
    <sheet name="Method &amp; cavea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<sst xmlns="http://schemas.openxmlformats.org/spreadsheetml/2006/main" count="125" uniqueCount="103">
  <si>
    <t xml:space="preserve">Olist Genie Evaluation – Round 1 (no instructions, table/column descriptions only)</t>
  </si>
  <si>
    <t xml:space="preserve">Genie space: E-Commerce Sales and Customer Insights · 8 tables in workspace.olist_gold · Chat mode · Serverless Starter Warehouse · run 22 Oct 2026</t>
  </si>
  <si>
    <t xml:space="preserve">#</t>
  </si>
  <si>
    <t xml:space="preserve">Question (asked exactly as written)</t>
  </si>
  <si>
    <t xml:space="preserve">What it tests</t>
  </si>
  <si>
    <t xml:space="preserve">Genie answer (round 1)</t>
  </si>
  <si>
    <t xml:space="preserve">Ground truth</t>
  </si>
  <si>
    <t xml:space="preserve">Round 1 grade</t>
  </si>
  <si>
    <t xml:space="preserve">Why / notes</t>
  </si>
  <si>
    <t xml:space="preserve">Round 2 answer (after instructions)</t>
  </si>
  <si>
    <t xml:space="preserve">Round 2 grade</t>
  </si>
  <si>
    <t xml:space="preserve">What was total revenue in 2017?</t>
  </si>
  <si>
    <t xml:space="preserve">Adding freight (R$7.14M) or using payments (R$7.25M)</t>
  </si>
  <si>
    <t xml:space="preserve">R$6,155,806.98 – SUM(price) from fact_order_items, YEAR(order_date)=2017</t>
  </si>
  <si>
    <t xml:space="preserve">R$6,155,807</t>
  </si>
  <si>
    <t xml:space="preserve">Correct</t>
  </si>
  <si>
    <t xml:space="preserve">Used item price only; avoided freight and payments traps.</t>
  </si>
  <si>
    <t xml:space="preserve">R$6,155,806.98</t>
  </si>
  <si>
    <t xml:space="preserve">How many orders were placed in 2018?</t>
  </si>
  <si>
    <t xml:space="preserve">Distinct order counting</t>
  </si>
  <si>
    <t xml:space="preserve">54,011 – COUNT(DISTINCT order_id) on fact_orders</t>
  </si>
  <si>
    <t xml:space="preserve">54,011 (53,775 with items)</t>
  </si>
  <si>
    <t xml:space="preserve">Asked in the same chat as Q1.</t>
  </si>
  <si>
    <t xml:space="preserve">54,011</t>
  </si>
  <si>
    <t xml:space="preserve">What are the top 5 product categories by revenue?</t>
  </si>
  <si>
    <t xml:space="preserve">Fact-to-dimension join</t>
  </si>
  <si>
    <t xml:space="preserve">Health Beauty 1.26M, Watches Gifts 1.21M, Bed Bath Table 1.04M, Sports Leisure 0.99M, Computers Accessories 0.91M</t>
  </si>
  <si>
    <t xml:space="preserve">Exact match on all five.</t>
  </si>
  <si>
    <t xml:space="preserve">Same top 5, same values</t>
  </si>
  <si>
    <t xml:space="preserve">Which customer states have the longest average delivery time?</t>
  </si>
  <si>
    <t xml:space="preserve">Join plus delivered-only filter</t>
  </si>
  <si>
    <t xml:space="preserve">RR 29.39, AP 27.19, AM 26.42 days (is_delivered = 1)</t>
  </si>
  <si>
    <t xml:space="preserve">RR 29.4, AP 27.2, AM 26.4 days</t>
  </si>
  <si>
    <t xml:space="preserve">Applied delivered-only filter unprompted.</t>
  </si>
  <si>
    <t xml:space="preserve">RR, AP, AM highest (chart only; text not captured)</t>
  </si>
  <si>
    <t xml:space="preserve">What percentage of delivered orders arrived late?</t>
  </si>
  <si>
    <t xml:space="preserve">Correct denominator</t>
  </si>
  <si>
    <t xml:space="preserve">6.77% (6.773705)</t>
  </si>
  <si>
    <t xml:space="preserve">6.77%</t>
  </si>
  <si>
    <t xml:space="preserve">Delivered orders as denominator.</t>
  </si>
  <si>
    <t xml:space="preserve">6.77% (6,535 of 96,476)</t>
  </si>
  <si>
    <t xml:space="preserve">What is the average review score for late orders compared to on-time orders?</t>
  </si>
  <si>
    <t xml:space="preserve">Grouping by a flag</t>
  </si>
  <si>
    <t xml:space="preserve">Late 2.27 (6,382 orders) vs on-time 4.29 (89,448 orders)</t>
  </si>
  <si>
    <t xml:space="preserve">Late 2.27 vs on-time 4.29</t>
  </si>
  <si>
    <t xml:space="preserve">Late 2.27 vs on-time 4.29 (fresh chat, before and after on-time instruction). In the shared regression chat it gave on-time 4.03 using only delivery_bucket = 'On time' (1,280 orders); not reproduced in a fresh chat.</t>
  </si>
  <si>
    <t xml:space="preserve">What percentage of customers placed more than one order?</t>
  </si>
  <si>
    <t xml:space="preserve">Customer-ID trap</t>
  </si>
  <si>
    <t xml:space="preserve">3.12% (3.1188)</t>
  </si>
  <si>
    <t xml:space="preserve">3.12% (2,997 of 96,096)</t>
  </si>
  <si>
    <t xml:space="preserve">Used the real customer (customer_unique_id), not per-order customer_id.</t>
  </si>
  <si>
    <t xml:space="preserve">Which month had the highest late delivery rate?</t>
  </si>
  <si>
    <t xml:space="preserve">Time grouping</t>
  </si>
  <si>
    <t xml:space="preserve">September 2016, 100%</t>
  </si>
  <si>
    <t xml:space="preserve">March 2018, 19.0%</t>
  </si>
  <si>
    <t xml:space="preserve">Wrong</t>
  </si>
  <si>
    <t xml:space="preserve">Sparse-month trap: Sep 2016 has very few orders, so one late order gives 100%. Valid SQL, useless business answer. Fix: instruction on analysis window / minimum volume. Re-run in a fresh chat: same answer (Sep 2016, 100%).</t>
  </si>
  <si>
    <t xml:space="preserve">March 2018, 18.96% (fresh chat; stated Jan 2017 – Aug 2018 window)</t>
  </si>
  <si>
    <t xml:space="preserve">What is the average order value?</t>
  </si>
  <si>
    <t xml:space="preserve">Price-only vs payments definition</t>
  </si>
  <si>
    <t xml:space="preserve">R$160.99 – average total payment per order</t>
  </si>
  <si>
    <t xml:space="preserve">R$137.75</t>
  </si>
  <si>
    <t xml:space="preserve">Definition trap: used payments (includes freight and instalment interest). Its follow-up question flagged the ambiguity but picked the wrong default. Fix: define AOV in instructions. Re-run in a fresh chat: R$160.58 using price + freight, a different definition again, so Genie was inconsistent without a definition.</t>
  </si>
  <si>
    <t xml:space="preserve">R$137.75 – item price only (fresh chat)</t>
  </si>
  <si>
    <t xml:space="preserve">Which payment method brings in the most money?</t>
  </si>
  <si>
    <t xml:space="preserve">Simple aggregation</t>
  </si>
  <si>
    <t xml:space="preserve">Credit Card, R$12,542,084.19</t>
  </si>
  <si>
    <t xml:space="preserve">Credit Card, R$12.54M</t>
  </si>
  <si>
    <t xml:space="preserve">Score summary</t>
  </si>
  <si>
    <t xml:space="preserve">Questions asked</t>
  </si>
  <si>
    <t xml:space="preserve">Round 1 – correct</t>
  </si>
  <si>
    <t xml:space="preserve">Round 1 – partly right</t>
  </si>
  <si>
    <t xml:space="preserve">Round 1 – wrong</t>
  </si>
  <si>
    <t xml:space="preserve">Round 1 – accuracy</t>
  </si>
  <si>
    <t xml:space="preserve">After round 2 – correct (round 2 grade overrides round 1 where filled)</t>
  </si>
  <si>
    <t xml:space="preserve">After round 2 – accuracy</t>
  </si>
  <si>
    <t xml:space="preserve">How to fill in round 2</t>
  </si>
  <si>
    <t xml:space="preserve">Yellow cells (columns H–I) are for round 2. Fill them only for questions you re-ask after adding instructions.</t>
  </si>
  <si>
    <t xml:space="preserve">Round 2 grade has a dropdown: Correct / Partly right / Wrong. Example: Q8 → answer 'March 2018, 19.0%', grade 'Correct'.</t>
  </si>
  <si>
    <t xml:space="preserve">The 'After round 2' score uses the round 2 grade where one is filled, otherwise the round 1 grade.</t>
  </si>
  <si>
    <t xml:space="preserve">Item</t>
  </si>
  <si>
    <t xml:space="preserve">Detail</t>
  </si>
  <si>
    <t xml:space="preserve">Setup</t>
  </si>
  <si>
    <t xml:space="preserve">Genie space on the 8 gold tables in workspace.olist_gold; no general instructions; Genie's suggested description not accepted; Chat mode.</t>
  </si>
  <si>
    <t xml:space="preserve">Context Genie had</t>
  </si>
  <si>
    <t xml:space="preserve">Table and column descriptions written in the gold notebook. Round 1 = 'descriptions only, no instructions', not zero context.</t>
  </si>
  <si>
    <t xml:space="preserve">All-time figures computed from the same gold tables (they differ slightly from the dashboard, which filters Jan 2017 – Aug 2018).</t>
  </si>
  <si>
    <t xml:space="preserve">Caveat: shared chat</t>
  </si>
  <si>
    <t xml:space="preserve">All 10 questions were asked in one chat (title stayed 'What was total revenue in 2017?'). Shared context can only help Genie, so it does not explain the misses.</t>
  </si>
  <si>
    <t xml:space="preserve">To do</t>
  </si>
  <si>
    <t xml:space="preserve">Done – see 'Re-run results' below.</t>
  </si>
  <si>
    <t xml:space="preserve">Pattern</t>
  </si>
  <si>
    <t xml:space="preserve">Both misses are business-definition problems (analysis window, AOV definition), not SQL problems. Joins, delivered-only filter and the customer-ID trap were handled correctly.</t>
  </si>
  <si>
    <t xml:space="preserve">Re-run results</t>
  </si>
  <si>
    <t xml:space="preserve">Q8 and Q9 re-run in fresh chats on 22 Oct 2026: both misses reproduced (Q8 Sep 2016 100%; Q9 R$160.58, a different wrong definition from the first run).</t>
  </si>
  <si>
    <t xml:space="preserve">Round 2 instructions</t>
  </si>
  <si>
    <t xml:space="preserve">General business definitions added: revenue = item price; payments only for payment questions; orders = distinct order_id; AOV = price / distinct orders; customer = customer_unique_id; late % on delivered orders; negative review = 1–2 stars; join on order_date; month-level analysis limited to Jan 2017 – Aug 2018 (same rule as the v1 dashboard).</t>
  </si>
  <si>
    <t xml:space="preserve">Round 2 results</t>
  </si>
  <si>
    <t xml:space="preserve">Q8 → March 2018, 18.96% (correct). Q9 → R$137.75 (correct). Regression check of the other 8: all correct. Q6 gave on-time 4.03 once in a shared chat (used only delivery_bucket = 'On time'); re-run in a fresh chat gave 4.29 both before and after adding an on-time definition, so it did not reproduce.</t>
  </si>
  <si>
    <t xml:space="preserve">Extra instruction</t>
  </si>
  <si>
    <t xml:space="preserve">Added under Delivery: on-time = delivered orders that were not late (includes early); do not use only delivery_bucket = 'On time'.</t>
  </si>
  <si>
    <t xml:space="preserve">Final result</t>
  </si>
  <si>
    <t xml:space="preserve">Round 1: 8/10 (80%). After instructions: 10/10 (100%), no reproducible regressions.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</si>
</sst>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0"/>
    <col collapsed="false" customWidth="true" hidden="false" outlineLevel="0" max="3" min="3" style="1" width="26"/>
    <col collapsed="false" customWidth="true" hidden="false" outlineLevel="0" max="4" min="4" style="1" width="42"/>
    <col collapsed="false" customWidth="true" hidden="false" outlineLevel="0" max="5" min="5" style="1" width="34"/>
    <col collapsed="false" customWidth="true" hidden="false" outlineLevel="0" max="6" min="6" style="1" width="14"/>
    <col collapsed="false" customWidth="true" hidden="false" outlineLevel="0" max="7" min="7" style="1" width="50"/>
    <col collapsed="false" customWidth="true" hidden="false" outlineLevel="0" max="8" min="8" style="1" width="32"/>
    <col collapsed="false" customWidth="true" hidden="false" outlineLevel="0" max="9" min="9" style="1" width="1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31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23.25" hidden="false" customHeight="true" outlineLevel="0" collapsed="false">
      <c r="A5" s="5" t="n">
        <v>1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5" t="s">
        <v>16</v>
      </c>
      <c r="H5" s="6" t="s">
        <v>17</v>
      </c>
      <c r="I5" s="6" t="s">
        <v>15</v>
      </c>
    </row>
    <row r="6" customFormat="false" ht="23.25" hidden="false" customHeight="true" outlineLevel="0" collapsed="false">
      <c r="A6" s="5" t="n">
        <v>2</v>
      </c>
      <c r="B6" s="5" t="s">
        <v>18</v>
      </c>
      <c r="C6" s="5" t="s">
        <v>19</v>
      </c>
      <c r="D6" s="5" t="s">
        <v>20</v>
      </c>
      <c r="E6" s="5" t="s">
        <v>21</v>
      </c>
      <c r="F6" s="5" t="s">
        <v>15</v>
      </c>
      <c r="G6" s="5" t="s">
        <v>22</v>
      </c>
      <c r="H6" s="6" t="s">
        <v>23</v>
      </c>
      <c r="I6" s="6" t="s">
        <v>15</v>
      </c>
    </row>
    <row r="7" customFormat="false" ht="45.75" hidden="false" customHeight="true" outlineLevel="0" collapsed="false">
      <c r="A7" s="5" t="n">
        <v>3</v>
      </c>
      <c r="B7" s="5" t="s">
        <v>24</v>
      </c>
      <c r="C7" s="5" t="s">
        <v>25</v>
      </c>
      <c r="D7" s="5" t="s">
        <v>26</v>
      </c>
      <c r="E7" s="5" t="s">
        <v>26</v>
      </c>
      <c r="F7" s="5" t="s">
        <v>15</v>
      </c>
      <c r="G7" s="5" t="s">
        <v>27</v>
      </c>
      <c r="H7" s="6" t="s">
        <v>28</v>
      </c>
      <c r="I7" s="6" t="s">
        <v>15</v>
      </c>
    </row>
    <row r="8" customFormat="false" ht="23.25" hidden="false" customHeight="true" outlineLevel="0" collapsed="false">
      <c r="A8" s="5" t="n">
        <v>4</v>
      </c>
      <c r="B8" s="5" t="s">
        <v>29</v>
      </c>
      <c r="C8" s="5" t="s">
        <v>30</v>
      </c>
      <c r="D8" s="5" t="s">
        <v>31</v>
      </c>
      <c r="E8" s="5" t="s">
        <v>32</v>
      </c>
      <c r="F8" s="5" t="s">
        <v>15</v>
      </c>
      <c r="G8" s="5" t="s">
        <v>33</v>
      </c>
      <c r="H8" s="6" t="s">
        <v>34</v>
      </c>
      <c r="I8" s="6" t="s">
        <v>15</v>
      </c>
    </row>
    <row r="9" customFormat="false" ht="23.25" hidden="false" customHeight="true" outlineLevel="0" collapsed="false">
      <c r="A9" s="5" t="n">
        <v>5</v>
      </c>
      <c r="B9" s="5" t="s">
        <v>35</v>
      </c>
      <c r="C9" s="5" t="s">
        <v>36</v>
      </c>
      <c r="D9" s="5" t="s">
        <v>37</v>
      </c>
      <c r="E9" s="5" t="s">
        <v>38</v>
      </c>
      <c r="F9" s="5" t="s">
        <v>15</v>
      </c>
      <c r="G9" s="5" t="s">
        <v>39</v>
      </c>
      <c r="H9" s="6" t="s">
        <v>40</v>
      </c>
      <c r="I9" s="6" t="s">
        <v>15</v>
      </c>
    </row>
    <row r="10" customFormat="false" ht="23.25" hidden="false" customHeight="true" outlineLevel="0" collapsed="false">
      <c r="A10" s="5" t="n">
        <v>6</v>
      </c>
      <c r="B10" s="5" t="s">
        <v>41</v>
      </c>
      <c r="C10" s="5" t="s">
        <v>42</v>
      </c>
      <c r="D10" s="5" t="s">
        <v>43</v>
      </c>
      <c r="E10" s="5" t="s">
        <v>44</v>
      </c>
      <c r="F10" s="5" t="s">
        <v>15</v>
      </c>
      <c r="G10" s="5"/>
      <c r="H10" s="6" t="s">
        <v>45</v>
      </c>
      <c r="I10" s="6" t="s">
        <v>15</v>
      </c>
    </row>
    <row r="11" customFormat="false" ht="23.25" hidden="false" customHeight="true" outlineLevel="0" collapsed="false">
      <c r="A11" s="5" t="n">
        <v>7</v>
      </c>
      <c r="B11" s="5" t="s">
        <v>46</v>
      </c>
      <c r="C11" s="5" t="s">
        <v>47</v>
      </c>
      <c r="D11" s="5" t="s">
        <v>48</v>
      </c>
      <c r="E11" s="5" t="s">
        <v>49</v>
      </c>
      <c r="F11" s="5" t="s">
        <v>15</v>
      </c>
      <c r="G11" s="5" t="s">
        <v>50</v>
      </c>
      <c r="H11" s="6" t="s">
        <v>49</v>
      </c>
      <c r="I11" s="6" t="s">
        <v>15</v>
      </c>
    </row>
    <row r="12" customFormat="false" ht="34.5" hidden="false" customHeight="true" outlineLevel="0" collapsed="false">
      <c r="A12" s="5" t="n">
        <v>8</v>
      </c>
      <c r="B12" s="5" t="s">
        <v>51</v>
      </c>
      <c r="C12" s="5" t="s">
        <v>52</v>
      </c>
      <c r="D12" s="5" t="s">
        <v>53</v>
      </c>
      <c r="E12" s="5" t="s">
        <v>54</v>
      </c>
      <c r="F12" s="5" t="s">
        <v>55</v>
      </c>
      <c r="G12" s="5" t="s">
        <v>56</v>
      </c>
      <c r="H12" s="6" t="s">
        <v>57</v>
      </c>
      <c r="I12" s="6" t="s">
        <v>15</v>
      </c>
    </row>
    <row r="13" customFormat="false" ht="45.75" hidden="false" customHeight="true" outlineLevel="0" collapsed="false">
      <c r="A13" s="5" t="n">
        <v>9</v>
      </c>
      <c r="B13" s="5" t="s">
        <v>58</v>
      </c>
      <c r="C13" s="5" t="s">
        <v>59</v>
      </c>
      <c r="D13" s="5" t="s">
        <v>60</v>
      </c>
      <c r="E13" s="5" t="s">
        <v>61</v>
      </c>
      <c r="F13" s="5" t="s">
        <v>55</v>
      </c>
      <c r="G13" s="5" t="s">
        <v>62</v>
      </c>
      <c r="H13" s="6" t="s">
        <v>63</v>
      </c>
      <c r="I13" s="6" t="s">
        <v>15</v>
      </c>
    </row>
    <row r="14" customFormat="false" ht="23.25" hidden="false" customHeight="true" outlineLevel="0" collapsed="false">
      <c r="A14" s="5" t="n">
        <v>10</v>
      </c>
      <c r="B14" s="5" t="s">
        <v>64</v>
      </c>
      <c r="C14" s="5" t="s">
        <v>65</v>
      </c>
      <c r="D14" s="5" t="s">
        <v>66</v>
      </c>
      <c r="E14" s="5" t="s">
        <v>67</v>
      </c>
      <c r="F14" s="5" t="s">
        <v>15</v>
      </c>
      <c r="G14" s="5"/>
      <c r="H14" s="6" t="s">
        <v>66</v>
      </c>
      <c r="I14" s="6" t="s">
        <v>15</v>
      </c>
    </row>
    <row r="16" customFormat="false" ht="15" hidden="false" customHeight="true" outlineLevel="0" collapsed="false">
      <c r="B16" s="7" t="s">
        <v>68</v>
      </c>
    </row>
    <row r="17" customFormat="false" ht="15" hidden="false" customHeight="true" outlineLevel="0" collapsed="false">
      <c r="B17" s="8" t="s">
        <v>69</v>
      </c>
      <c r="C17" s="9" t="n">
        <f aca="false">COUNTA(A5:A14)</f>
        <v>10</v>
      </c>
    </row>
    <row r="18" customFormat="false" ht="15" hidden="false" customHeight="true" outlineLevel="0" collapsed="false">
      <c r="B18" s="8" t="s">
        <v>70</v>
      </c>
      <c r="C18" s="9" t="n">
        <f aca="false">COUNTIF(F5:F14,"Correct")</f>
        <v>8</v>
      </c>
    </row>
    <row r="19" customFormat="false" ht="15" hidden="false" customHeight="true" outlineLevel="0" collapsed="false">
      <c r="B19" s="8" t="s">
        <v>71</v>
      </c>
      <c r="C19" s="9" t="n">
        <f aca="false">COUNTIF(F5:F14,"Partly right")</f>
        <v>0</v>
      </c>
    </row>
    <row r="20" customFormat="false" ht="15" hidden="false" customHeight="true" outlineLevel="0" collapsed="false">
      <c r="B20" s="8" t="s">
        <v>72</v>
      </c>
      <c r="C20" s="9" t="n">
        <f aca="false">COUNTIF(F5:F14,"Wrong")</f>
        <v>2</v>
      </c>
    </row>
    <row r="21" customFormat="false" ht="15" hidden="false" customHeight="true" outlineLevel="0" collapsed="false">
      <c r="B21" s="8" t="s">
        <v>73</v>
      </c>
      <c r="C21" s="10" t="n">
        <f aca="false">IFERROR(C18/C17,0)</f>
        <v>0.8</v>
      </c>
    </row>
    <row r="22" customFormat="false" ht="23.25" hidden="false" customHeight="true" outlineLevel="0" collapsed="false">
      <c r="B22" s="8" t="s">
        <v>74</v>
      </c>
      <c r="C22" s="9" t="n">
        <f aca="false">SUMPRODUCT((I5:I14="")*(F5:F14="Correct"))+SUMPRODUCT((I5:I14&lt;&gt;"")*(I5:I14="Correct"))</f>
        <v>10</v>
      </c>
    </row>
    <row r="23" customFormat="false" ht="15" hidden="false" customHeight="true" outlineLevel="0" collapsed="false">
      <c r="B23" s="8" t="s">
        <v>75</v>
      </c>
      <c r="C23" s="10" t="n">
        <f aca="false">IFERROR(C22/C17,0)</f>
        <v>1</v>
      </c>
    </row>
    <row r="26" customFormat="false" ht="15" hidden="false" customHeight="true" outlineLevel="0" collapsed="false">
      <c r="B26" s="7" t="s">
        <v>76</v>
      </c>
    </row>
    <row r="27" customFormat="false" ht="15" hidden="false" customHeight="true" outlineLevel="0" collapsed="false">
      <c r="B27" s="11" t="s">
        <v>77</v>
      </c>
    </row>
    <row r="28" customFormat="false" ht="15" hidden="false" customHeight="true" outlineLevel="0" collapsed="false">
      <c r="B28" s="11" t="s">
        <v>78</v>
      </c>
    </row>
    <row r="29" customFormat="false" ht="15" hidden="false" customHeight="true" outlineLevel="0" collapsed="false">
      <c r="B29" s="11" t="s">
        <v>79</v>
      </c>
    </row>
  </sheetData>
  <conditionalFormatting sqref="F5:F14">
    <cfRule type="cellIs" priority="2" operator="equal" aboveAverage="0" equalAverage="0" bottom="0" percent="0" rank="0" text="" dxfId="0">
      <formula>"Correct"</formula>
    </cfRule>
    <cfRule type="cellIs" priority="3" operator="equal" aboveAverage="0" equalAverage="0" bottom="0" percent="0" rank="0" text="" dxfId="1">
      <formula>"Partly right"</formula>
    </cfRule>
    <cfRule type="cellIs" priority="4" operator="equal" aboveAverage="0" equalAverage="0" bottom="0" percent="0" rank="0" text="" dxfId="2">
      <formula>"Wrong"</formula>
    </cfRule>
  </conditionalFormatting>
  <conditionalFormatting sqref="I5:I14">
    <cfRule type="cellIs" priority="5" operator="equal" aboveAverage="0" equalAverage="0" bottom="0" percent="0" rank="0" text="" dxfId="0">
      <formula>"Correct"</formula>
    </cfRule>
    <cfRule type="cellIs" priority="6" operator="equal" aboveAverage="0" equalAverage="0" bottom="0" percent="0" rank="0" text="" dxfId="1">
      <formula>"Partly right"</formula>
    </cfRule>
    <cfRule type="cellIs" priority="7" operator="equal" aboveAverage="0" equalAverage="0" bottom="0" percent="0" rank="0" text="" dxfId="2">
      <formula>"Wrong"</formula>
    </cfRule>
  </conditionalFormatting>
  <dataValidations count="1">
    <dataValidation allowBlank="true" errorStyle="stop" operator="between" showDropDown="false" showErrorMessage="false" showInputMessage="false" sqref="F5:F14 I5:I14" type="list">
      <formula1>"Correct,Partly right,Wrong"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00"/>
  </cols>
  <sheetData>
    <row r="1" customFormat="false" ht="15" hidden="false" customHeight="true" outlineLevel="0" collapsed="false">
      <c r="A1" s="12" t="s">
        <v>80</v>
      </c>
      <c r="B1" s="12" t="s">
        <v>81</v>
      </c>
    </row>
    <row r="2" customFormat="false" ht="23.25" hidden="false" customHeight="true" outlineLevel="0" collapsed="false">
      <c r="A2" s="13" t="s">
        <v>82</v>
      </c>
      <c r="B2" s="13" t="s">
        <v>83</v>
      </c>
    </row>
    <row r="3" customFormat="false" ht="15" hidden="false" customHeight="true" outlineLevel="0" collapsed="false">
      <c r="A3" s="13" t="s">
        <v>84</v>
      </c>
      <c r="B3" s="13" t="s">
        <v>85</v>
      </c>
    </row>
    <row r="4" customFormat="false" ht="23.25" hidden="false" customHeight="true" outlineLevel="0" collapsed="false">
      <c r="A4" s="13" t="s">
        <v>6</v>
      </c>
      <c r="B4" s="13" t="s">
        <v>86</v>
      </c>
    </row>
    <row r="5" customFormat="false" ht="23.25" hidden="false" customHeight="true" outlineLevel="0" collapsed="false">
      <c r="A5" s="13" t="s">
        <v>87</v>
      </c>
      <c r="B5" s="13" t="s">
        <v>88</v>
      </c>
    </row>
    <row r="6" customFormat="false" ht="15" hidden="false" customHeight="true" outlineLevel="0" collapsed="false">
      <c r="A6" s="13" t="s">
        <v>89</v>
      </c>
      <c r="B6" s="13" t="s">
        <v>90</v>
      </c>
    </row>
    <row r="7" customFormat="false" ht="23.25" hidden="false" customHeight="true" outlineLevel="0" collapsed="false">
      <c r="A7" s="13" t="s">
        <v>91</v>
      </c>
      <c r="B7" s="13" t="s">
        <v>92</v>
      </c>
    </row>
    <row r="8" customFormat="false" ht="23.25" hidden="false" customHeight="true" outlineLevel="0" collapsed="false">
      <c r="A8" s="5" t="s">
        <v>93</v>
      </c>
      <c r="B8" s="5" t="s">
        <v>94</v>
      </c>
    </row>
    <row r="9" customFormat="false" ht="34.5" hidden="false" customHeight="true" outlineLevel="0" collapsed="false">
      <c r="A9" s="5" t="s">
        <v>95</v>
      </c>
      <c r="B9" s="5" t="s">
        <v>96</v>
      </c>
    </row>
    <row r="10" customFormat="false" ht="15" hidden="false" customHeight="true" outlineLevel="0" collapsed="false">
      <c r="A10" s="5" t="s">
        <v>97</v>
      </c>
      <c r="B10" s="5" t="s">
        <v>98</v>
      </c>
    </row>
    <row r="11" customFormat="false" ht="23.85" hidden="false" customHeight="false" outlineLevel="0" collapsed="false">
      <c r="A11" s="5" t="s">
        <v>99</v>
      </c>
      <c r="B11" s="5" t="s">
        <v>100</v>
      </c>
    </row>
    <row r="12" customFormat="false" ht="15" hidden="false" customHeight="false" outlineLevel="0" collapsed="false">
      <c r="A12" s="14" t="s">
        <v>101</v>
      </c>
      <c r="B12" s="5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2026-10-22T15:55:27Z</dcterms:created>
  <dc:creator>openpyxl</dc:creator>
  <dc:description/>
  <dc:language>en-US</dc:language>
  <cp:lastModifiedBy/>
  <dcterms:modified xsi:type="dcterms:W3CDTF">2026-10-22T16:25:06Z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